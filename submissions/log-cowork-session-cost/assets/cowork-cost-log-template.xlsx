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sheetId="1" state="visible" r:id="rId1"/>
    <sheet name="Summary"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quot;$&quot;#,##0.00"/>
  </numFmts>
  <fonts count="7">
    <font>
      <name val="Calibri"/>
      <family val="2"/>
      <color theme="1"/>
      <sz val="11"/>
      <scheme val="minor"/>
    </font>
    <font>
      <b val="1"/>
      <color rgb="00FFFFFF"/>
    </font>
    <font>
      <b val="1"/>
      <color rgb="00111827"/>
    </font>
    <font>
      <b val="1"/>
      <sz val="10"/>
    </font>
    <font>
      <i val="1"/>
      <sz val="10"/>
    </font>
    <font>
      <b val="1"/>
      <color rgb="00111827"/>
      <sz val="14"/>
    </font>
    <font>
      <b val="1"/>
      <color rgb="002FA6A4"/>
      <sz val="12"/>
    </font>
  </fonts>
  <fills count="3">
    <fill>
      <patternFill/>
    </fill>
    <fill>
      <patternFill patternType="gray125"/>
    </fill>
    <fill>
      <patternFill patternType="solid">
        <fgColor rgb="002FA6A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0" fontId="2" fillId="0" borderId="0" pivotButton="0" quotePrefix="0" xfId="0"/>
    <xf numFmtId="0" fontId="1" fillId="2" borderId="0" pivotButton="0" quotePrefix="0" xfId="0"/>
    <xf numFmtId="3" fontId="0"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CoworkLog" displayName="CoworkLog" ref="A1:M31" headerRowCount="1">
  <autoFilter ref="A1:M31"/>
  <tableColumns count="13">
    <tableColumn id="1" name="Date"/>
    <tableColumn id="2" name="Project / Context"/>
    <tableColumn id="3" name="Skills and Plugins"/>
    <tableColumn id="4" name="Tools"/>
    <tableColumn id="5" name="Model"/>
    <tableColumn id="6" name="Effort"/>
    <tableColumn id="7" name="Cost (Credits)"/>
    <tableColumn id="8" name="Total Cost (USD)"/>
    <tableColumn id="9" name="Top Cost Driver"/>
    <tableColumn id="10" name="Key Inefficiency"/>
    <tableColumn id="11" name="Top Recommendation"/>
    <tableColumn id="12" name="Net Assessment"/>
    <tableColumn id="13" name="Observation 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0" customWidth="1" min="2" max="2"/>
    <col width="26" customWidth="1" min="3" max="3"/>
    <col width="30" customWidth="1" min="4" max="4"/>
    <col width="14" customWidth="1" min="5" max="5"/>
    <col width="13" customWidth="1" min="6" max="6"/>
    <col width="14" customWidth="1" min="7" max="7"/>
    <col width="16" customWidth="1" min="8" max="8"/>
    <col width="40" customWidth="1" min="9" max="9"/>
    <col width="40" customWidth="1" min="10" max="10"/>
    <col width="40" customWidth="1" min="11" max="11"/>
    <col width="40" customWidth="1" min="12" max="12"/>
    <col width="40" customWidth="1" min="13" max="13"/>
  </cols>
  <sheetData>
    <row r="1" ht="30" customHeight="1">
      <c r="A1" s="1" t="inlineStr">
        <is>
          <t>Date</t>
        </is>
      </c>
      <c r="B1" s="1" t="inlineStr">
        <is>
          <t>Project / Context</t>
        </is>
      </c>
      <c r="C1" s="1" t="inlineStr">
        <is>
          <t>Skills and Plugins</t>
        </is>
      </c>
      <c r="D1" s="1" t="inlineStr">
        <is>
          <t>Tools</t>
        </is>
      </c>
      <c r="E1" s="1" t="inlineStr">
        <is>
          <t>Model</t>
        </is>
      </c>
      <c r="F1" s="1" t="inlineStr">
        <is>
          <t>Effort</t>
        </is>
      </c>
      <c r="G1" s="1" t="inlineStr">
        <is>
          <t>Cost (Credits)</t>
        </is>
      </c>
      <c r="H1" s="1" t="inlineStr">
        <is>
          <t>Total Cost (USD)</t>
        </is>
      </c>
      <c r="I1" s="1" t="inlineStr">
        <is>
          <t>Top Cost Driver</t>
        </is>
      </c>
      <c r="J1" s="1" t="inlineStr">
        <is>
          <t>Key Inefficiency</t>
        </is>
      </c>
      <c r="K1" s="1" t="inlineStr">
        <is>
          <t>Top Recommendation</t>
        </is>
      </c>
      <c r="L1" s="1" t="inlineStr">
        <is>
          <t>Net Assessment</t>
        </is>
      </c>
      <c r="M1" s="1" t="inlineStr">
        <is>
          <t>Observation Notes</t>
        </is>
      </c>
    </row>
    <row r="2">
      <c r="G2" s="2" t="n"/>
      <c r="H2" s="3" t="n"/>
    </row>
    <row r="3">
      <c r="G3" s="2" t="n"/>
      <c r="H3" s="3" t="n"/>
    </row>
    <row r="4">
      <c r="G4" s="2" t="n"/>
      <c r="H4" s="3" t="n"/>
    </row>
    <row r="5">
      <c r="G5" s="2" t="n"/>
      <c r="H5" s="3" t="n"/>
    </row>
    <row r="6">
      <c r="G6" s="2" t="n"/>
      <c r="H6" s="3" t="n"/>
    </row>
    <row r="7">
      <c r="G7" s="2" t="n"/>
      <c r="H7" s="3" t="n"/>
    </row>
    <row r="8">
      <c r="G8" s="2" t="n"/>
      <c r="H8" s="3" t="n"/>
    </row>
    <row r="9">
      <c r="G9" s="2" t="n"/>
      <c r="H9" s="3" t="n"/>
    </row>
    <row r="10">
      <c r="G10" s="2" t="n"/>
      <c r="H10" s="3" t="n"/>
    </row>
    <row r="11">
      <c r="G11" s="2" t="n"/>
      <c r="H11" s="3" t="n"/>
    </row>
    <row r="12">
      <c r="G12" s="2" t="n"/>
      <c r="H12" s="3" t="n"/>
    </row>
    <row r="13">
      <c r="G13" s="2" t="n"/>
      <c r="H13" s="3" t="n"/>
    </row>
    <row r="14">
      <c r="G14" s="2" t="n"/>
      <c r="H14" s="3" t="n"/>
    </row>
    <row r="15">
      <c r="G15" s="2" t="n"/>
      <c r="H15" s="3" t="n"/>
    </row>
    <row r="16">
      <c r="G16" s="2" t="n"/>
      <c r="H16" s="3" t="n"/>
    </row>
    <row r="17">
      <c r="G17" s="2" t="n"/>
      <c r="H17" s="3" t="n"/>
    </row>
    <row r="18">
      <c r="G18" s="2" t="n"/>
      <c r="H18" s="3" t="n"/>
    </row>
    <row r="19">
      <c r="G19" s="2" t="n"/>
      <c r="H19" s="3" t="n"/>
    </row>
    <row r="20">
      <c r="G20" s="2" t="n"/>
      <c r="H20" s="3" t="n"/>
    </row>
    <row r="21">
      <c r="G21" s="2" t="n"/>
      <c r="H21" s="3" t="n"/>
    </row>
    <row r="22">
      <c r="G22" s="2" t="n"/>
      <c r="H22" s="3" t="n"/>
    </row>
    <row r="23">
      <c r="G23" s="2" t="n"/>
      <c r="H23" s="3" t="n"/>
    </row>
    <row r="24">
      <c r="G24" s="2" t="n"/>
      <c r="H24" s="3" t="n"/>
    </row>
    <row r="25">
      <c r="G25" s="2" t="n"/>
      <c r="H25" s="3" t="n"/>
    </row>
    <row r="26">
      <c r="G26" s="2" t="n"/>
      <c r="H26" s="3" t="n"/>
    </row>
    <row r="27">
      <c r="G27" s="2" t="n"/>
      <c r="H27" s="3" t="n"/>
    </row>
    <row r="28">
      <c r="G28" s="2" t="n"/>
      <c r="H28" s="3" t="n"/>
    </row>
    <row r="29">
      <c r="G29" s="2" t="n"/>
      <c r="H29" s="3" t="n"/>
    </row>
    <row r="30">
      <c r="G30" s="2" t="n"/>
      <c r="H30" s="3" t="n"/>
    </row>
    <row r="31">
      <c r="G31" s="2" t="n"/>
      <c r="H31" s="3" t="n"/>
    </row>
  </sheetData>
  <dataValidations count="1">
    <dataValidation sqref="F2:F1000" showDropDown="0" showInputMessage="0" showErrorMessage="0" allowBlank="1" errorTitle="Value not in the list" error="Pick one of the listed values." prompt="Choose from the dropdown." type="list">
      <formula1>"Light,Medium,High,Extra High,Max"</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2" customWidth="1" min="1" max="1"/>
    <col width="18" customWidth="1" min="2" max="2"/>
    <col width="16" customWidth="1" min="3" max="3"/>
    <col width="18" customWidth="1" min="4" max="4"/>
  </cols>
  <sheetData>
    <row r="1">
      <c r="A1" s="4" t="inlineStr">
        <is>
          <t>Copilot Cowork cost log, summary</t>
        </is>
      </c>
    </row>
    <row r="2">
      <c r="A2" t="inlineStr">
        <is>
          <t>Updates automatically as rows are added to the Log sheet. Do not type over these formulas.</t>
        </is>
      </c>
    </row>
    <row r="3"/>
    <row r="4">
      <c r="A4" s="5" t="inlineStr">
        <is>
          <t>Cost</t>
        </is>
      </c>
    </row>
    <row r="5">
      <c r="A5" t="inlineStr">
        <is>
          <t>Sessions logged</t>
        </is>
      </c>
      <c r="B5" s="6">
        <f>COUNTA(CoworkLog[Date])</f>
        <v/>
      </c>
    </row>
    <row r="6">
      <c r="A6" t="inlineStr">
        <is>
          <t>Total Credits logged</t>
        </is>
      </c>
      <c r="B6" s="2">
        <f>SUM(CoworkLog[Cost (Credits)])</f>
        <v/>
      </c>
    </row>
    <row r="7">
      <c r="A7" t="inlineStr">
        <is>
          <t>Total spend logged (USD)</t>
        </is>
      </c>
      <c r="B7" s="3">
        <f>SUM(CoworkLog[Total Cost (USD)])</f>
        <v/>
      </c>
    </row>
    <row r="8">
      <c r="A8" t="inlineStr">
        <is>
          <t>Average cost per session (USD)</t>
        </is>
      </c>
      <c r="B8" s="3">
        <f>IFERROR(AVERAGE(CoworkLog[Total Cost (USD)]),"")</f>
        <v/>
      </c>
    </row>
    <row r="9">
      <c r="A9" t="inlineStr">
        <is>
          <t>Highest single session cost (USD)</t>
        </is>
      </c>
      <c r="B9" s="3">
        <f>IF(COUNT(CoworkLog[Total Cost (USD)])=0,"",MAX(CoworkLog[Total Cost (USD)]))</f>
        <v/>
      </c>
    </row>
    <row r="10">
      <c r="A10" t="inlineStr">
        <is>
          <t>Lowest single session cost (USD)</t>
        </is>
      </c>
      <c r="B10" s="3">
        <f>IF(COUNT(CoworkLog[Total Cost (USD)])=0,"",MIN(CoworkLog[Total Cost (USD)]))</f>
        <v/>
      </c>
    </row>
    <row r="11"/>
    <row r="12">
      <c r="A12" s="5" t="inlineStr">
        <is>
          <t>Cost by effort level</t>
        </is>
      </c>
    </row>
    <row r="13">
      <c r="A13" s="7" t="inlineStr">
        <is>
          <t>Effort level</t>
        </is>
      </c>
      <c r="B13" s="7" t="inlineStr">
        <is>
          <t>Sessions</t>
        </is>
      </c>
      <c r="C13" s="7" t="inlineStr">
        <is>
          <t>Credits</t>
        </is>
      </c>
      <c r="D13" s="7" t="inlineStr">
        <is>
          <t>Avg credits</t>
        </is>
      </c>
    </row>
    <row r="14">
      <c r="A14" t="inlineStr">
        <is>
          <t>Light</t>
        </is>
      </c>
      <c r="B14" s="6">
        <f>COUNTIF(CoworkLog[Effort],$A14)</f>
        <v/>
      </c>
      <c r="C14" s="2">
        <f>SUMIF(CoworkLog[Effort],$A14,CoworkLog[Cost (Credits)])</f>
        <v/>
      </c>
      <c r="D14" s="2">
        <f>IFERROR(AVERAGEIF(CoworkLog[Effort],$A14,CoworkLog[Cost (Credits)]),"")</f>
        <v/>
      </c>
    </row>
    <row r="15">
      <c r="A15" t="inlineStr">
        <is>
          <t>Medium</t>
        </is>
      </c>
      <c r="B15" s="6">
        <f>COUNTIF(CoworkLog[Effort],$A15)</f>
        <v/>
      </c>
      <c r="C15" s="2">
        <f>SUMIF(CoworkLog[Effort],$A15,CoworkLog[Cost (Credits)])</f>
        <v/>
      </c>
      <c r="D15" s="2">
        <f>IFERROR(AVERAGEIF(CoworkLog[Effort],$A15,CoworkLog[Cost (Credits)]),"")</f>
        <v/>
      </c>
    </row>
    <row r="16">
      <c r="A16" t="inlineStr">
        <is>
          <t>High</t>
        </is>
      </c>
      <c r="B16" s="6">
        <f>COUNTIF(CoworkLog[Effort],$A16)</f>
        <v/>
      </c>
      <c r="C16" s="2">
        <f>SUMIF(CoworkLog[Effort],$A16,CoworkLog[Cost (Credits)])</f>
        <v/>
      </c>
      <c r="D16" s="2">
        <f>IFERROR(AVERAGEIF(CoworkLog[Effort],$A16,CoworkLog[Cost (Credits)]),"")</f>
        <v/>
      </c>
    </row>
    <row r="17">
      <c r="A17" t="inlineStr">
        <is>
          <t>Extra High</t>
        </is>
      </c>
      <c r="B17" s="6">
        <f>COUNTIF(CoworkLog[Effort],$A17)</f>
        <v/>
      </c>
      <c r="C17" s="2">
        <f>SUMIF(CoworkLog[Effort],$A17,CoworkLog[Cost (Credits)])</f>
        <v/>
      </c>
      <c r="D17" s="2">
        <f>IFERROR(AVERAGEIF(CoworkLog[Effort],$A17,CoworkLog[Cost (Credits)]),"")</f>
        <v/>
      </c>
    </row>
    <row r="18">
      <c r="A18" t="inlineStr">
        <is>
          <t>Max</t>
        </is>
      </c>
      <c r="B18" s="6">
        <f>COUNTIF(CoworkLog[Effort],$A18)</f>
        <v/>
      </c>
      <c r="C18" s="2">
        <f>SUMIF(CoworkLog[Effort],$A18,CoworkLog[Cost (Credits)])</f>
        <v/>
      </c>
      <c r="D18" s="2">
        <f>IFERROR(AVERAGEIF(CoworkLog[Effort],$A18,CoworkLog[Cost (Credits)]),"")</f>
        <v/>
      </c>
    </row>
    <row r="19"/>
    <row r="20">
      <c r="A20" s="8" t="inlineStr">
        <is>
          <t>Average credits per session is the column to watch. Effort level is the cheapest lever you have, so if High and Medium are producing work of the same standard for the same kind of task, the default should come down.</t>
        </is>
      </c>
    </row>
    <row r="21"/>
    <row r="22"/>
    <row r="23">
      <c r="A23" s="5" t="inlineStr">
        <is>
          <t>Spend by model (USD)</t>
        </is>
      </c>
    </row>
    <row r="24">
      <c r="A24" s="7" t="inlineStr">
        <is>
          <t>Model name (edit these cells)</t>
        </is>
      </c>
      <c r="B24" s="7" t="inlineStr">
        <is>
          <t>Spend (USD)</t>
        </is>
      </c>
    </row>
    <row r="25">
      <c r="A25" t="inlineStr">
        <is>
          <t>Auto</t>
        </is>
      </c>
      <c r="B25" s="3">
        <f>IF($A25="","",SUMIF(CoworkLog[Model],$A25,CoworkLog[Total Cost (USD)]))</f>
        <v/>
      </c>
    </row>
    <row r="26">
      <c r="B26" s="3">
        <f>IF($A26="","",SUMIF(CoworkLog[Model],$A26,CoworkLog[Total Cost (USD)]))</f>
        <v/>
      </c>
    </row>
    <row r="27">
      <c r="B27" s="3">
        <f>IF($A27="","",SUMIF(CoworkLog[Model],$A27,CoworkLog[Total Cost (USD)]))</f>
        <v/>
      </c>
    </row>
    <row r="28">
      <c r="B28" s="3">
        <f>IF($A28="","",SUMIF(CoworkLog[Model],$A28,CoworkLog[Total Cost (USD)]))</f>
        <v/>
      </c>
    </row>
    <row r="29">
      <c r="B29" s="3">
        <f>IF($A29="","",SUMIF(CoworkLog[Model],$A29,CoworkLog[Total Cost (USD)]))</f>
        <v/>
      </c>
    </row>
    <row r="30"/>
    <row r="31">
      <c r="A31" s="8" t="inlineStr">
        <is>
          <t>Type a model name into column A and its total appears in column B. "Auto" covers sessions that ran on Cowork's automatic model selection, which is what /cost reports for most sessions.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0" customWidth="1" min="1" max="1"/>
  </cols>
  <sheetData>
    <row r="1">
      <c r="A1" s="9" t="inlineStr">
        <is>
          <t>Copilot Cowork cost log</t>
        </is>
      </c>
    </row>
    <row r="2">
      <c r="A2" s="10" t="inlineStr">
        <is>
          <t>A running log of Copilot Cowork sessions and what each one cost, with a short commentary on what drove that cost. The point is to spot patterns over time so prompts, skills, models, and effort levels can be made cheaper without losing quality.</t>
        </is>
      </c>
    </row>
    <row r="3"/>
    <row r="4">
      <c r="A4" s="11" t="inlineStr">
        <is>
          <t>How a row gets added</t>
        </is>
      </c>
    </row>
    <row r="5">
      <c r="A5" s="10" t="inlineStr">
        <is>
          <t>1. Run /cost yourself at the end of the session. It is a UI command, Cowork cannot run it for you. It returns a single Copilot Credits figure, for example "1,259.1 credits used for this task so far".</t>
        </is>
      </c>
    </row>
    <row r="6">
      <c r="A6" s="10" t="inlineStr">
        <is>
          <t>2. Ask Cowork to run the 'log-cowork-session-cost' skill and paste the credits figure in. Tell it which model ran and which effort level was set, because /cost reports neither.</t>
        </is>
      </c>
    </row>
    <row r="7">
      <c r="A7" s="10" t="inlineStr">
        <is>
          <t>3. The skill shows a full write-up in chat, then one pipe-delimited row. It never writes to this workbook.</t>
        </is>
      </c>
    </row>
    <row r="8">
      <c r="A8" s="10" t="inlineStr">
        <is>
          <t>4. Paste that row into a single empty cell in column A of the Log sheet, then split it with Data &gt; Text to Columns &gt; Delimited &gt; Other: |  It fills columns A to M.</t>
        </is>
      </c>
    </row>
    <row r="9">
      <c r="A9" s="10" t="inlineStr">
        <is>
          <t>5. Add your own reflections to the Observation Notes column. The skill never fills this in for you.</t>
        </is>
      </c>
    </row>
    <row r="10"/>
    <row r="11">
      <c r="A11" s="11" t="inlineStr">
        <is>
          <t>Column guide, columns A to M, from the skill</t>
        </is>
      </c>
    </row>
    <row r="12">
      <c r="A12" s="10" t="inlineStr">
        <is>
          <t>Date: The session date, YYYY-MM-DD.</t>
        </is>
      </c>
    </row>
    <row r="13">
      <c r="A13" s="10" t="inlineStr">
        <is>
          <t>Project / Context: What the session was for, with the client name anonymised, in the form "[Client] [Task]".</t>
        </is>
      </c>
    </row>
    <row r="14">
      <c r="A14" s="10" t="inlineStr">
        <is>
          <t>Skills and Plugins: The skill(s) or plugin(s) actually invoked during the session, or "None" if none were.</t>
        </is>
      </c>
    </row>
    <row r="15">
      <c r="A15" s="10" t="inlineStr">
        <is>
          <t>Tools: The MCP tools or connectors actually called, by tool name, or "None".</t>
        </is>
      </c>
    </row>
    <row r="16">
      <c r="A16" s="10" t="inlineStr">
        <is>
          <t>Model: The model the user confirmed, or "Auto" for Cowork's automatic model selection.</t>
        </is>
      </c>
    </row>
    <row r="17">
      <c r="A17" s="10" t="inlineStr">
        <is>
          <t>Effort: The effort level the session ran at. Light, Medium, High, Extra High, or Max. Medium is Cowork's default. This has a large effect on credits burned, often larger than the choice of model, so a cost log without it cannot explain its own numbers.</t>
        </is>
      </c>
    </row>
    <row r="18">
      <c r="A18" s="10" t="inlineStr">
        <is>
          <t>Cost (Credits): The /cost figure, as a plain number with no thousands separator so it stays numeric.</t>
        </is>
      </c>
    </row>
    <row r="19">
      <c r="A19" s="10" t="inlineStr">
        <is>
          <t>Total Cost (USD): Credits x 0.01, the published Copilot Credits rate. Update the skill if Microsoft changes it.</t>
        </is>
      </c>
    </row>
    <row r="20">
      <c r="A20" s="10" t="inlineStr">
        <is>
          <t>Top Cost Driver / Key Inefficiency / Top Recommendation: One short phrase each, not a paragraph. These are reasoned qualitatively from what the session did, a credits figure cannot be broken down into input, output, and cache costs.</t>
        </is>
      </c>
    </row>
    <row r="21">
      <c r="A21" s="10" t="inlineStr">
        <is>
          <t>Net Assessment: One sentence. Was this session good value for what it produced?</t>
        </is>
      </c>
    </row>
    <row r="22">
      <c r="A22" s="10" t="inlineStr">
        <is>
          <t>Observation Notes: Free text, added by hand. Never auto-filled.</t>
        </is>
      </c>
    </row>
    <row r="23"/>
    <row r="24">
      <c r="A24" s="11" t="inlineStr">
        <is>
          <t>Effort level</t>
        </is>
      </c>
    </row>
    <row r="25">
      <c r="A25" s="10" t="inlineStr">
        <is>
          <t>Cowork lets you set an effort level per task, from Light through to Max, with Medium as the default. Higher effort means more thorough responses, but it takes longer and burns credits faster. It is usually the single biggest lever on what a session costs.</t>
        </is>
      </c>
    </row>
    <row r="26">
      <c r="A26" s="10" t="inlineStr">
        <is>
          <t>Record it on every row. The Cost by effort level block on the Summary sheet gives you average credits per session at each level, which is the number that tells you whether the extra effort bought anything.</t>
        </is>
      </c>
    </row>
    <row r="27"/>
    <row r="28">
      <c r="A28" s="11" t="inlineStr">
        <is>
          <t>Anonymising clients</t>
        </is>
      </c>
    </row>
    <row r="29">
      <c r="A29" s="10" t="inlineStr">
        <is>
          <t>Never name the actual client or organisation anywhere in this workbook, including the Project / Context and the commentary columns. Use a generic placeholder that still conveys the type of work, in the form "[Client] [Task]".</t>
        </is>
      </c>
    </row>
    <row r="30"/>
    <row r="31">
      <c r="A31" s="11" t="inlineStr">
        <is>
          <t>Using this workbook</t>
        </is>
      </c>
    </row>
    <row r="32">
      <c r="A32" s="10" t="inlineStr">
        <is>
          <t>This is a template. Save your own copy to your OneDrive or a team SharePoint site and log into that. The skill deliberately never opens, edits, or uploads the workbook, so nothing can overwrite your log.</t>
        </is>
      </c>
    </row>
    <row r="33">
      <c r="A33" s="10" t="inlineStr">
        <is>
          <t>The Log table comes with 30 formatted rows ready to use. When you run out, select the last row of the table and drag the fill handle down, the formats and the dropdown come with it.</t>
        </is>
      </c>
    </row>
    <row r="34"/>
    <row r="35">
      <c r="A35" s="8" t="inlineStr">
        <is>
          <t>Note on /usage: earlier versions of this log recorded a token-level breakdown from Cowork's /usage command. That command is no longer available, so /cost credits are now the only cost figure, and there is no per-component breakdown to record.</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88DF9505696E4B8AEF11824D20980B" ma:contentTypeVersion="16" ma:contentTypeDescription="Create a new document." ma:contentTypeScope="" ma:versionID="e983594b3123f5bd937a6c98f4b69a2a">
  <xsd:schema xmlns:xsd="http://www.w3.org/2001/XMLSchema" xmlns:xs="http://www.w3.org/2001/XMLSchema" xmlns:p="http://schemas.microsoft.com/office/2006/metadata/properties" xmlns:ns2="ea66775c-fa97-4308-88a4-430989646fca" xmlns:ns3="b3dcb4b6-d0ff-42dc-ba3a-3a3992e02460" targetNamespace="http://schemas.microsoft.com/office/2006/metadata/properties" ma:root="true" ma:fieldsID="f3bba8fbc9747f9aec498d4ca1ed2105" ns2:_="" ns3:_="">
    <xsd:import namespace="ea66775c-fa97-4308-88a4-430989646fca"/>
    <xsd:import namespace="b3dcb4b6-d0ff-42dc-ba3a-3a3992e02460"/>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6775c-fa97-4308-88a4-430989646f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ae9f76c-f6fd-43af-9e0f-41439a421da5"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dcb4b6-d0ff-42dc-ba3a-3a3992e0246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5d026cd-61e1-476e-bd3e-09bc6a6eb325}" ma:internalName="TaxCatchAll" ma:showField="CatchAllData" ma:web="b3dcb4b6-d0ff-42dc-ba3a-3a3992e024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66775c-fa97-4308-88a4-430989646fca">
      <Terms xmlns="http://schemas.microsoft.com/office/infopath/2007/PartnerControls"/>
    </lcf76f155ced4ddcb4097134ff3c332f>
    <TaxCatchAll xmlns="b3dcb4b6-d0ff-42dc-ba3a-3a3992e02460" xsi:nil="true"/>
  </documentManagement>
</p:properties>
</file>

<file path=customXml/itemProps1.xml><?xml version="1.0" encoding="utf-8"?>
<ds:datastoreItem xmlns:ds="http://schemas.openxmlformats.org/officeDocument/2006/customXml" ds:itemID="{8141F461-0369-414B-B319-3FE93A313AF8}"/>
</file>

<file path=customXml/itemProps2.xml><?xml version="1.0" encoding="utf-8"?>
<ds:datastoreItem xmlns:ds="http://schemas.openxmlformats.org/officeDocument/2006/customXml" ds:itemID="{1271F924-4576-4067-A4EE-3D427B2AAE64}"/>
</file>

<file path=customXml/itemProps3.xml><?xml version="1.0" encoding="utf-8"?>
<ds:datastoreItem xmlns:ds="http://schemas.openxmlformats.org/officeDocument/2006/customXml" ds:itemID="{C9D86445-8D29-403E-A670-F190E5763F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2026-08-26T22:02:27Z</dcterms:created>
  <dcterms:modified xsi:type="dcterms:W3CDTF">2026-09-02T09:08:56Z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0x0101009688DF9505696E4B8AEF11824D20980B</vt:lpwstr>
  </property>
</Properties>
</file>